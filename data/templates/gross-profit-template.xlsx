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27 (2026)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">
      <text>
        <t xml:space="preserve">from 1/14</t>
      </text>
    </comment>
    <comment authorId="0" ref="B28">
      <text>
        <t xml:space="preserve">from 5/28</t>
      </text>
    </comment>
    <comment authorId="0" ref="L2">
      <text>
        <t xml:space="preserve">from 8/21</t>
      </text>
    </comment>
  </commentList>
</comments>
</file>

<file path=xl/sharedStrings.xml><?xml version="1.0" encoding="utf-8"?>
<sst xmlns="http://schemas.openxmlformats.org/spreadsheetml/2006/main" count="255" uniqueCount="32">
  <si>
    <t>Earl</t>
  </si>
  <si>
    <t>Liobikas</t>
  </si>
  <si>
    <t>Yelm</t>
  </si>
  <si>
    <t>Jackson</t>
  </si>
  <si>
    <t>Lanz</t>
  </si>
  <si>
    <t>RATE $</t>
  </si>
  <si>
    <t>Data entry</t>
  </si>
  <si>
    <t>MILEAGE</t>
  </si>
  <si>
    <t>TOTAL GROSS INCOME</t>
  </si>
  <si>
    <t>EXPENSES</t>
  </si>
  <si>
    <t>Driver's pay</t>
  </si>
  <si>
    <t>Fuel</t>
  </si>
  <si>
    <t>PREPASS</t>
  </si>
  <si>
    <t>Monitoring Logs</t>
  </si>
  <si>
    <t>R &amp; M</t>
  </si>
  <si>
    <t>-</t>
  </si>
  <si>
    <t>Equipment Lease</t>
  </si>
  <si>
    <t>Liability insurance</t>
  </si>
  <si>
    <t>SCALE</t>
  </si>
  <si>
    <t>FACTORING FEE .80%</t>
  </si>
  <si>
    <t>Samsara</t>
  </si>
  <si>
    <t>Cargo insurance</t>
  </si>
  <si>
    <t>PD insurance</t>
  </si>
  <si>
    <t>TOTAL EXPENSES</t>
  </si>
  <si>
    <t>GROSS PROFIT</t>
  </si>
  <si>
    <t>Wagner</t>
  </si>
  <si>
    <t>Smith</t>
  </si>
  <si>
    <t>Day</t>
  </si>
  <si>
    <t>Cantus</t>
  </si>
  <si>
    <t>Malisa</t>
  </si>
  <si>
    <t>XXII Fee</t>
  </si>
  <si>
    <t>Liability and cargo insurance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</si>
</sst>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$#,##0.00_);[Red]($-#,##0.00)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Georgia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2" fillId="0" fontId="4" numFmtId="2" xfId="0" applyAlignment="1" applyBorder="1" applyFont="1" applyNumberFormat="1">
      <alignment vertical="bottom"/>
    </xf>
    <xf borderId="3" fillId="0" fontId="5" numFmtId="2" xfId="0" applyAlignment="1" applyBorder="1" applyFont="1" applyNumberFormat="1">
      <alignment horizontal="center" vertical="bottom"/>
    </xf>
    <xf borderId="4" fillId="0" fontId="6" numFmtId="0" xfId="0" applyBorder="1" applyFont="1"/>
    <xf borderId="4" fillId="0" fontId="4" numFmtId="2" xfId="0" applyAlignment="1" applyBorder="1" applyFont="1" applyNumberFormat="1">
      <alignment horizontal="right" vertical="bottom"/>
    </xf>
    <xf borderId="5" fillId="0" fontId="4" numFmtId="2" xfId="0" applyAlignment="1" applyBorder="1" applyFont="1" applyNumberFormat="1">
      <alignment vertical="bottom"/>
    </xf>
    <xf borderId="1" fillId="0" fontId="5" numFmtId="2" xfId="0" applyAlignment="1" applyBorder="1" applyFont="1" applyNumberFormat="1">
      <alignment horizontal="center" vertical="bottom"/>
    </xf>
    <xf borderId="6" fillId="0" fontId="6" numFmtId="0" xfId="0" applyBorder="1" applyFont="1"/>
    <xf borderId="6" fillId="0" fontId="4" numFmtId="2" xfId="0" applyAlignment="1" applyBorder="1" applyFont="1" applyNumberFormat="1">
      <alignment horizontal="right" vertical="bottom"/>
    </xf>
    <xf borderId="2" fillId="0" fontId="4" numFmtId="2" xfId="0" applyAlignment="1" applyBorder="1" applyFont="1" applyNumberFormat="1">
      <alignment horizontal="right" vertical="bottom"/>
    </xf>
    <xf borderId="7" fillId="0" fontId="4" numFmtId="3" xfId="0" applyAlignment="1" applyBorder="1" applyFont="1" applyNumberFormat="1">
      <alignment vertical="bottom"/>
    </xf>
    <xf borderId="8" fillId="2" fontId="2" numFmtId="0" xfId="0" applyAlignment="1" applyBorder="1" applyFill="1" applyFont="1">
      <alignment readingOrder="0" vertical="bottom"/>
    </xf>
    <xf borderId="9" fillId="0" fontId="6" numFmtId="0" xfId="0" applyBorder="1" applyFont="1"/>
    <xf borderId="9" fillId="0" fontId="2" numFmtId="4" xfId="0" applyAlignment="1" applyBorder="1" applyFont="1" applyNumberFormat="1">
      <alignment vertical="bottom"/>
    </xf>
    <xf borderId="8" fillId="2" fontId="4" numFmtId="0" xfId="0" applyAlignment="1" applyBorder="1" applyFont="1">
      <alignment horizontal="right" readingOrder="0" vertical="bottom"/>
    </xf>
    <xf borderId="9" fillId="0" fontId="4" numFmtId="4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vertical="bottom"/>
    </xf>
    <xf borderId="8" fillId="2" fontId="2" numFmtId="4" xfId="0" applyAlignment="1" applyBorder="1" applyFont="1" applyNumberFormat="1">
      <alignment readingOrder="0" vertical="bottom"/>
    </xf>
    <xf borderId="9" fillId="0" fontId="2" numFmtId="164" xfId="0" applyAlignment="1" applyBorder="1" applyFont="1" applyNumberFormat="1">
      <alignment vertical="bottom"/>
    </xf>
    <xf borderId="8" fillId="2" fontId="4" numFmtId="4" xfId="0" applyAlignment="1" applyBorder="1" applyFont="1" applyNumberFormat="1">
      <alignment horizontal="right" readingOrder="0" vertical="bottom"/>
    </xf>
    <xf borderId="9" fillId="0" fontId="4" numFmtId="164" xfId="0" applyAlignment="1" applyBorder="1" applyFont="1" applyNumberFormat="1">
      <alignment horizontal="center" vertical="bottom"/>
    </xf>
    <xf borderId="8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8" fillId="0" fontId="3" numFmtId="165" xfId="0" applyAlignment="1" applyBorder="1" applyFont="1" applyNumberFormat="1">
      <alignment vertical="bottom"/>
    </xf>
    <xf borderId="11" fillId="0" fontId="7" numFmtId="0" xfId="0" applyAlignment="1" applyBorder="1" applyFont="1">
      <alignment vertical="bottom"/>
    </xf>
    <xf borderId="1" fillId="0" fontId="6" numFmtId="0" xfId="0" applyBorder="1" applyFont="1"/>
    <xf borderId="12" fillId="0" fontId="6" numFmtId="0" xfId="0" applyBorder="1" applyFont="1"/>
    <xf borderId="7" fillId="0" fontId="4" numFmtId="0" xfId="0" applyAlignment="1" applyBorder="1" applyFont="1">
      <alignment vertical="bottom"/>
    </xf>
    <xf borderId="1" fillId="2" fontId="2" numFmtId="4" xfId="0" applyAlignment="1" applyBorder="1" applyFont="1" applyNumberFormat="1">
      <alignment readingOrder="0" vertical="bottom"/>
    </xf>
    <xf borderId="12" fillId="0" fontId="2" numFmtId="165" xfId="0" applyAlignment="1" applyBorder="1" applyFont="1" applyNumberFormat="1">
      <alignment vertical="bottom"/>
    </xf>
    <xf borderId="1" fillId="2" fontId="4" numFmtId="4" xfId="0" applyAlignment="1" applyBorder="1" applyFont="1" applyNumberFormat="1">
      <alignment horizontal="right" readingOrder="0" vertical="bottom"/>
    </xf>
    <xf borderId="12" fillId="0" fontId="4" numFmtId="165" xfId="0" applyAlignment="1" applyBorder="1" applyFont="1" applyNumberFormat="1">
      <alignment horizontal="right" vertical="bottom"/>
    </xf>
    <xf borderId="6" fillId="2" fontId="2" numFmtId="4" xfId="0" applyAlignment="1" applyBorder="1" applyFont="1" applyNumberFormat="1">
      <alignment readingOrder="0" vertical="bottom"/>
    </xf>
    <xf borderId="6" fillId="2" fontId="4" numFmtId="4" xfId="0" applyAlignment="1" applyBorder="1" applyFont="1" applyNumberFormat="1">
      <alignment horizontal="right" readingOrder="0" vertical="bottom"/>
    </xf>
    <xf borderId="1" fillId="2" fontId="4" numFmtId="0" xfId="0" applyAlignment="1" applyBorder="1" applyFont="1">
      <alignment horizontal="right" readingOrder="0" vertical="bottom"/>
    </xf>
    <xf borderId="13" fillId="3" fontId="4" numFmtId="0" xfId="0" applyAlignment="1" applyBorder="1" applyFill="1" applyFont="1">
      <alignment horizontal="right" readingOrder="0" vertical="bottom"/>
    </xf>
    <xf borderId="12" fillId="0" fontId="4" numFmtId="165" xfId="0" applyAlignment="1" applyBorder="1" applyFont="1" applyNumberFormat="1">
      <alignment horizontal="center" vertical="bottom"/>
    </xf>
    <xf borderId="7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right" vertical="bottom"/>
    </xf>
    <xf borderId="12" fillId="3" fontId="4" numFmtId="165" xfId="0" applyAlignment="1" applyBorder="1" applyFont="1" applyNumberFormat="1">
      <alignment horizontal="right" vertical="bottom"/>
    </xf>
    <xf borderId="0" fillId="3" fontId="1" numFmtId="0" xfId="0" applyFont="1"/>
    <xf borderId="6" fillId="3" fontId="2" numFmtId="0" xfId="0" applyAlignment="1" applyBorder="1" applyFont="1">
      <alignment vertical="bottom"/>
    </xf>
    <xf borderId="7" fillId="3" fontId="4" numFmtId="10" xfId="0" applyAlignment="1" applyBorder="1" applyFont="1" applyNumberFormat="1">
      <alignment vertical="bottom"/>
    </xf>
    <xf borderId="10" fillId="0" fontId="8" numFmtId="0" xfId="0" applyAlignment="1" applyBorder="1" applyFont="1">
      <alignment vertical="bottom"/>
    </xf>
    <xf borderId="14" fillId="0" fontId="6" numFmtId="0" xfId="0" applyBorder="1" applyFont="1"/>
    <xf borderId="9" fillId="0" fontId="5" numFmtId="165" xfId="0" applyAlignment="1" applyBorder="1" applyFont="1" applyNumberFormat="1">
      <alignment horizontal="right" vertical="bottom"/>
    </xf>
    <xf borderId="15" fillId="0" fontId="5" numFmtId="0" xfId="0" applyAlignment="1" applyBorder="1" applyFont="1">
      <alignment vertical="bottom"/>
    </xf>
    <xf borderId="9" fillId="0" fontId="5" numFmtId="166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0" numFmtId="0" xfId="0" applyAlignment="1" applyFont="1">
      <alignment readingOrder="0"/>
    </xf>
    <xf borderId="16" fillId="3" fontId="1" numFmtId="0" xfId="0" applyBorder="1" applyFont="1"/>
    <xf borderId="16" fillId="3" fontId="2" numFmtId="0" xfId="0" applyAlignment="1" applyBorder="1" applyFont="1">
      <alignment vertical="bottom"/>
    </xf>
    <xf borderId="16" fillId="3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6" fillId="0" fontId="1" numFmtId="0" xfId="0" applyBorder="1" applyFont="1"/>
    <xf borderId="0" fillId="0" fontId="2" numFmtId="165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3" fontId="2" numFmtId="2" xfId="0" applyAlignment="1" applyFont="1" applyNumberFormat="1">
      <alignment vertical="bottom"/>
    </xf>
    <xf borderId="17" fillId="0" fontId="4" numFmtId="2" xfId="0" applyAlignment="1" applyBorder="1" applyFont="1" applyNumberFormat="1">
      <alignment vertical="bottom"/>
    </xf>
    <xf borderId="18" fillId="0" fontId="5" numFmtId="2" xfId="0" applyAlignment="1" applyBorder="1" applyFont="1" applyNumberFormat="1">
      <alignment horizontal="center" vertical="bottom"/>
    </xf>
    <xf borderId="19" fillId="0" fontId="6" numFmtId="0" xfId="0" applyBorder="1" applyFont="1"/>
    <xf borderId="20" fillId="0" fontId="4" numFmtId="2" xfId="0" applyAlignment="1" applyBorder="1" applyFont="1" applyNumberFormat="1">
      <alignment horizontal="right" vertical="bottom"/>
    </xf>
    <xf borderId="0" fillId="3" fontId="4" numFmtId="2" xfId="0" applyAlignment="1" applyFont="1" applyNumberFormat="1">
      <alignment vertical="bottom"/>
    </xf>
    <xf borderId="0" fillId="3" fontId="5" numFmtId="2" xfId="0" applyAlignment="1" applyFont="1" applyNumberFormat="1">
      <alignment horizontal="center" vertical="bottom"/>
    </xf>
    <xf borderId="0" fillId="3" fontId="4" numFmtId="2" xfId="0" applyAlignment="1" applyFont="1" applyNumberFormat="1">
      <alignment horizontal="right" vertical="bottom"/>
    </xf>
    <xf borderId="9" fillId="0" fontId="5" numFmtId="4" xfId="0" applyAlignment="1" applyBorder="1" applyFont="1" applyNumberFormat="1">
      <alignment horizontal="right" vertical="bottom"/>
    </xf>
    <xf borderId="0" fillId="3" fontId="4" numFmtId="3" xfId="0" applyAlignment="1" applyFont="1" applyNumberFormat="1">
      <alignment vertical="bottom"/>
    </xf>
    <xf borderId="0" fillId="3" fontId="4" numFmtId="0" xfId="0" applyAlignment="1" applyFont="1">
      <alignment horizontal="right" vertical="bottom"/>
    </xf>
    <xf borderId="0" fillId="3" fontId="5" numFmtId="4" xfId="0" applyAlignment="1" applyFont="1" applyNumberFormat="1">
      <alignment horizontal="right" vertical="bottom"/>
    </xf>
    <xf borderId="21" fillId="0" fontId="5" numFmtId="0" xfId="0" applyAlignment="1" applyBorder="1" applyFont="1">
      <alignment vertical="bottom"/>
    </xf>
    <xf borderId="0" fillId="2" fontId="4" numFmtId="4" xfId="0" applyAlignment="1" applyFont="1" applyNumberFormat="1">
      <alignment horizontal="right" readingOrder="0" vertical="bottom"/>
    </xf>
    <xf borderId="22" fillId="0" fontId="6" numFmtId="0" xfId="0" applyBorder="1" applyFont="1"/>
    <xf borderId="22" fillId="0" fontId="5" numFmtId="164" xfId="0" applyAlignment="1" applyBorder="1" applyFont="1" applyNumberFormat="1">
      <alignment horizontal="center" vertical="bottom"/>
    </xf>
    <xf borderId="9" fillId="0" fontId="5" numFmtId="164" xfId="0" applyAlignment="1" applyBorder="1" applyFont="1" applyNumberFormat="1">
      <alignment horizontal="center" vertical="bottom"/>
    </xf>
    <xf borderId="0" fillId="3" fontId="5" numFmtId="0" xfId="0" applyAlignment="1" applyFont="1">
      <alignment vertical="bottom"/>
    </xf>
    <xf borderId="0" fillId="3" fontId="4" numFmtId="4" xfId="0" applyAlignment="1" applyFont="1" applyNumberFormat="1">
      <alignment horizontal="right" vertical="bottom"/>
    </xf>
    <xf borderId="0" fillId="3" fontId="5" numFmtId="164" xfId="0" applyAlignment="1" applyFont="1" applyNumberFormat="1">
      <alignment horizontal="center" vertical="bottom"/>
    </xf>
    <xf borderId="23" fillId="0" fontId="4" numFmtId="0" xfId="0" applyAlignment="1" applyBorder="1" applyFont="1">
      <alignment vertical="bottom"/>
    </xf>
    <xf borderId="24" fillId="3" fontId="4" numFmtId="10" xfId="0" applyAlignment="1" applyBorder="1" applyFont="1" applyNumberFormat="1">
      <alignment horizontal="right" readingOrder="0" vertical="bottom"/>
    </xf>
    <xf borderId="25" fillId="0" fontId="6" numFmtId="0" xfId="0" applyBorder="1" applyFont="1"/>
    <xf borderId="26" fillId="0" fontId="4" numFmtId="165" xfId="0" applyAlignment="1" applyBorder="1" applyFont="1" applyNumberFormat="1">
      <alignment horizontal="right" vertical="bottom"/>
    </xf>
    <xf borderId="27" fillId="3" fontId="4" numFmtId="10" xfId="0" applyAlignment="1" applyBorder="1" applyFont="1" applyNumberFormat="1">
      <alignment horizontal="right" readingOrder="0" vertical="bottom"/>
    </xf>
    <xf borderId="28" fillId="0" fontId="4" numFmtId="165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29" fillId="2" fontId="4" numFmtId="4" xfId="0" applyAlignment="1" applyBorder="1" applyFont="1" applyNumberFormat="1">
      <alignment horizontal="right" readingOrder="0" vertical="bottom"/>
    </xf>
    <xf borderId="15" fillId="0" fontId="4" numFmtId="0" xfId="0" applyAlignment="1" applyBorder="1" applyFont="1">
      <alignment readingOrder="0" vertical="bottom"/>
    </xf>
    <xf borderId="30" fillId="2" fontId="4" numFmtId="4" xfId="0" applyAlignment="1" applyBorder="1" applyFont="1" applyNumberFormat="1">
      <alignment horizontal="right" readingOrder="0" vertical="bottom"/>
    </xf>
    <xf borderId="30" fillId="2" fontId="4" numFmtId="0" xfId="0" applyAlignment="1" applyBorder="1" applyFont="1">
      <alignment horizontal="right" readingOrder="0" vertical="bottom"/>
    </xf>
    <xf borderId="30" fillId="3" fontId="4" numFmtId="4" xfId="0" applyAlignment="1" applyBorder="1" applyFont="1" applyNumberFormat="1">
      <alignment horizontal="right" readingOrder="0" vertical="bottom"/>
    </xf>
    <xf borderId="30" fillId="2" fontId="4" numFmtId="2" xfId="0" applyAlignment="1" applyBorder="1" applyFont="1" applyNumberFormat="1">
      <alignment horizontal="right" readingOrder="0" vertical="bottom"/>
    </xf>
    <xf borderId="8" fillId="0" fontId="4" numFmtId="0" xfId="0" applyAlignment="1" applyBorder="1" applyFont="1">
      <alignment vertical="bottom"/>
    </xf>
    <xf borderId="8" fillId="3" fontId="4" numFmtId="10" xfId="0" applyAlignment="1" applyBorder="1" applyFont="1" applyNumberFormat="1">
      <alignment horizontal="right" readingOrder="0" vertical="bottom"/>
    </xf>
    <xf borderId="8" fillId="0" fontId="4" numFmtId="165" xfId="0" applyAlignment="1" applyBorder="1" applyFont="1" applyNumberFormat="1">
      <alignment horizontal="right" vertical="bottom"/>
    </xf>
    <xf borderId="0" fillId="3" fontId="9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165" xfId="0" applyAlignment="1" applyFont="1" applyNumberFormat="1">
      <alignment horizontal="right" vertical="bottom"/>
    </xf>
    <xf borderId="7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10" xfId="0" applyAlignment="1" applyFont="1" applyNumberFormat="1">
      <alignment vertical="bottom"/>
    </xf>
    <xf borderId="0" fillId="3" fontId="5" numFmtId="165" xfId="0" applyAlignment="1" applyFont="1" applyNumberFormat="1">
      <alignment horizontal="right" vertical="bottom"/>
    </xf>
    <xf borderId="0" fillId="3" fontId="2" numFmtId="165" xfId="0" applyAlignment="1" applyFont="1" applyNumberFormat="1">
      <alignment vertical="bottom"/>
    </xf>
    <xf borderId="0" fillId="3" fontId="5" numFmtId="166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6.38"/>
    <col customWidth="1" min="4" max="4" width="12.0"/>
    <col customWidth="1" min="5" max="5" width="6.38"/>
    <col customWidth="1" min="6" max="6" width="13.0"/>
    <col customWidth="1" min="7" max="7" width="6.38"/>
    <col customWidth="1" min="8" max="8" width="7.5"/>
    <col customWidth="1" min="9" max="9" width="10.63"/>
    <col customWidth="1" min="10" max="10" width="7.13"/>
    <col customWidth="1" min="12" max="13" width="6.38"/>
    <col customWidth="1" min="15" max="15" width="7.25"/>
    <col customWidth="1" min="17" max="17" width="7.13"/>
    <col customWidth="1" min="18" max="18" width="7.63"/>
    <col customWidth="1" min="20" max="20" width="6.0"/>
    <col customWidth="1" min="22" max="22" width="7.25"/>
    <col customWidth="1" min="23" max="23" width="7.38"/>
    <col customWidth="1" min="26" max="26" width="12.25"/>
    <col customWidth="1" min="27" max="27" width="11.63"/>
    <col customWidth="1" min="28" max="28" width="0.63"/>
  </cols>
  <sheetData>
    <row r="2">
      <c r="A2" s="1" t="s">
        <v>0</v>
      </c>
      <c r="B2" s="1">
        <v>257.0</v>
      </c>
      <c r="C2" s="1"/>
      <c r="F2" s="1" t="s">
        <v>1</v>
      </c>
      <c r="G2" s="1">
        <v>250.0</v>
      </c>
      <c r="K2" s="2" t="s">
        <v>2</v>
      </c>
      <c r="L2" s="3">
        <v>235.0</v>
      </c>
      <c r="M2" s="4"/>
      <c r="N2" s="5"/>
      <c r="P2" s="6" t="s">
        <v>3</v>
      </c>
      <c r="Q2" s="7">
        <v>246.0</v>
      </c>
      <c r="R2" s="6"/>
      <c r="S2" s="8"/>
      <c r="U2" s="1" t="s">
        <v>4</v>
      </c>
      <c r="V2" s="1">
        <v>215.0</v>
      </c>
      <c r="W2" s="1"/>
    </row>
    <row r="3">
      <c r="A3" s="9" t="s">
        <v>5</v>
      </c>
      <c r="B3" s="10" t="s">
        <v>6</v>
      </c>
      <c r="C3" s="11"/>
      <c r="D3" s="12">
        <f>D5/D4</f>
        <v>3.516998828</v>
      </c>
      <c r="F3" s="9" t="s">
        <v>5</v>
      </c>
      <c r="G3" s="10" t="s">
        <v>6</v>
      </c>
      <c r="H3" s="11"/>
      <c r="I3" s="12">
        <f>I5/I4</f>
        <v>3.009943654</v>
      </c>
      <c r="K3" s="13" t="s">
        <v>5</v>
      </c>
      <c r="L3" s="14" t="s">
        <v>6</v>
      </c>
      <c r="M3" s="15"/>
      <c r="N3" s="16">
        <f>N5/N4</f>
        <v>2.538169626</v>
      </c>
      <c r="P3" s="9" t="s">
        <v>5</v>
      </c>
      <c r="Q3" s="10" t="s">
        <v>6</v>
      </c>
      <c r="R3" s="11"/>
      <c r="S3" s="17">
        <f>S5/S4</f>
        <v>2.899169321</v>
      </c>
      <c r="U3" s="9" t="s">
        <v>5</v>
      </c>
      <c r="V3" s="10" t="s">
        <v>6</v>
      </c>
      <c r="W3" s="11"/>
      <c r="X3" s="12">
        <f>X5/X4</f>
        <v>3.146793672</v>
      </c>
    </row>
    <row r="4">
      <c r="A4" s="18" t="s">
        <v>7</v>
      </c>
      <c r="B4" s="19">
        <v>1876.6</v>
      </c>
      <c r="C4" s="20"/>
      <c r="D4" s="21">
        <f t="shared" ref="D4:D5" si="1">B4</f>
        <v>1876.6</v>
      </c>
      <c r="F4" s="18" t="s">
        <v>7</v>
      </c>
      <c r="G4" s="19">
        <v>2768.6</v>
      </c>
      <c r="H4" s="20"/>
      <c r="I4" s="21">
        <f t="shared" ref="I4:I5" si="2">G4</f>
        <v>2768.6</v>
      </c>
      <c r="K4" s="18" t="s">
        <v>7</v>
      </c>
      <c r="L4" s="22">
        <v>4026.5</v>
      </c>
      <c r="M4" s="20"/>
      <c r="N4" s="23">
        <f t="shared" ref="N4:N5" si="3">L4</f>
        <v>4026.5</v>
      </c>
      <c r="P4" s="18" t="s">
        <v>7</v>
      </c>
      <c r="Q4" s="19">
        <v>3045.7</v>
      </c>
      <c r="R4" s="20"/>
      <c r="S4" s="23">
        <f t="shared" ref="S4:S5" si="4">Q4</f>
        <v>3045.7</v>
      </c>
      <c r="U4" s="18" t="s">
        <v>7</v>
      </c>
      <c r="V4" s="19">
        <v>1175.8</v>
      </c>
      <c r="W4" s="20"/>
      <c r="X4" s="21">
        <f t="shared" ref="X4:X5" si="5">V4</f>
        <v>1175.8</v>
      </c>
    </row>
    <row r="5">
      <c r="A5" s="24" t="s">
        <v>8</v>
      </c>
      <c r="B5" s="25">
        <v>6600.0</v>
      </c>
      <c r="C5" s="20"/>
      <c r="D5" s="26">
        <f t="shared" si="1"/>
        <v>6600</v>
      </c>
      <c r="F5" s="24" t="s">
        <v>8</v>
      </c>
      <c r="G5" s="25">
        <v>8333.33</v>
      </c>
      <c r="H5" s="20"/>
      <c r="I5" s="26">
        <f t="shared" si="2"/>
        <v>8333.33</v>
      </c>
      <c r="K5" s="24" t="s">
        <v>8</v>
      </c>
      <c r="L5" s="27">
        <v>10219.94</v>
      </c>
      <c r="M5" s="20"/>
      <c r="N5" s="28">
        <f t="shared" si="3"/>
        <v>10219.94</v>
      </c>
      <c r="P5" s="24" t="s">
        <v>8</v>
      </c>
      <c r="Q5" s="25">
        <v>8830.0</v>
      </c>
      <c r="R5" s="20"/>
      <c r="S5" s="28">
        <f t="shared" si="4"/>
        <v>8830</v>
      </c>
      <c r="U5" s="24" t="s">
        <v>8</v>
      </c>
      <c r="V5" s="25">
        <v>3700.0</v>
      </c>
      <c r="W5" s="20"/>
      <c r="X5" s="26">
        <f t="shared" si="5"/>
        <v>3700</v>
      </c>
    </row>
    <row r="6">
      <c r="A6" s="29"/>
      <c r="B6" s="29"/>
      <c r="C6" s="29"/>
      <c r="D6" s="30"/>
      <c r="F6" s="29"/>
      <c r="G6" s="29"/>
      <c r="H6" s="29"/>
      <c r="I6" s="30"/>
      <c r="K6" s="31"/>
      <c r="L6" s="31"/>
      <c r="M6" s="31"/>
      <c r="N6" s="32"/>
      <c r="P6" s="29"/>
      <c r="Q6" s="29"/>
      <c r="R6" s="29"/>
      <c r="S6" s="30"/>
      <c r="U6" s="29"/>
      <c r="V6" s="29"/>
      <c r="W6" s="29"/>
      <c r="X6" s="30"/>
    </row>
    <row r="7">
      <c r="A7" s="33" t="s">
        <v>9</v>
      </c>
      <c r="B7" s="34"/>
      <c r="C7" s="34"/>
      <c r="D7" s="35"/>
      <c r="F7" s="33" t="s">
        <v>9</v>
      </c>
      <c r="G7" s="34"/>
      <c r="H7" s="34"/>
      <c r="I7" s="35"/>
      <c r="K7" s="33" t="s">
        <v>9</v>
      </c>
      <c r="L7" s="34"/>
      <c r="M7" s="34"/>
      <c r="N7" s="35"/>
      <c r="P7" s="33" t="s">
        <v>9</v>
      </c>
      <c r="Q7" s="34"/>
      <c r="R7" s="34"/>
      <c r="S7" s="35"/>
      <c r="U7" s="33" t="s">
        <v>9</v>
      </c>
      <c r="V7" s="34"/>
      <c r="W7" s="34"/>
      <c r="X7" s="35"/>
    </row>
    <row r="8">
      <c r="A8" s="36" t="s">
        <v>10</v>
      </c>
      <c r="B8" s="37">
        <v>1219.78</v>
      </c>
      <c r="C8" s="15"/>
      <c r="D8" s="38">
        <f>B8</f>
        <v>1219.78</v>
      </c>
      <c r="F8" s="36" t="s">
        <v>10</v>
      </c>
      <c r="G8" s="37">
        <v>1799.59</v>
      </c>
      <c r="H8" s="15"/>
      <c r="I8" s="38">
        <f>G8</f>
        <v>1799.59</v>
      </c>
      <c r="K8" s="36" t="s">
        <v>10</v>
      </c>
      <c r="L8" s="39">
        <v>2818.53</v>
      </c>
      <c r="M8" s="15"/>
      <c r="N8" s="40">
        <f>L8</f>
        <v>2818.53</v>
      </c>
      <c r="P8" s="36" t="s">
        <v>10</v>
      </c>
      <c r="Q8" s="37">
        <v>2071.09</v>
      </c>
      <c r="R8" s="15"/>
      <c r="S8" s="40">
        <f>Q8</f>
        <v>2071.09</v>
      </c>
      <c r="U8" s="36" t="s">
        <v>10</v>
      </c>
      <c r="V8" s="37">
        <v>864.25</v>
      </c>
      <c r="W8" s="15"/>
      <c r="X8" s="38">
        <f>V8</f>
        <v>864.25</v>
      </c>
    </row>
    <row r="9">
      <c r="A9" s="36" t="s">
        <v>11</v>
      </c>
      <c r="B9" s="41">
        <v>6.97</v>
      </c>
      <c r="C9" s="41">
        <v>4.02</v>
      </c>
      <c r="D9" s="40">
        <f>B4/B9*C9</f>
        <v>1082.343185</v>
      </c>
      <c r="F9" s="36" t="s">
        <v>11</v>
      </c>
      <c r="G9" s="41">
        <v>7.8</v>
      </c>
      <c r="H9" s="41">
        <v>3.98</v>
      </c>
      <c r="I9" s="40">
        <f>G4/G9*H9</f>
        <v>1412.695897</v>
      </c>
      <c r="K9" s="36" t="s">
        <v>11</v>
      </c>
      <c r="L9" s="42">
        <v>8.95</v>
      </c>
      <c r="M9" s="42">
        <v>3.68</v>
      </c>
      <c r="N9" s="40">
        <f>L4/L9*M9</f>
        <v>1655.588827</v>
      </c>
      <c r="P9" s="36" t="s">
        <v>11</v>
      </c>
      <c r="Q9" s="41">
        <v>7.18</v>
      </c>
      <c r="R9" s="41">
        <v>3.82</v>
      </c>
      <c r="S9" s="40">
        <f>Q4/Q9*R9</f>
        <v>1620.414206</v>
      </c>
      <c r="U9" s="36" t="s">
        <v>11</v>
      </c>
      <c r="V9" s="41">
        <v>6.66</v>
      </c>
      <c r="W9" s="41">
        <v>3.68</v>
      </c>
      <c r="X9" s="40">
        <f>V4/V9*W9</f>
        <v>649.6912913</v>
      </c>
    </row>
    <row r="10">
      <c r="A10" s="36" t="s">
        <v>12</v>
      </c>
      <c r="B10" s="43">
        <v>0.0</v>
      </c>
      <c r="C10" s="15"/>
      <c r="D10" s="40">
        <f t="shared" ref="D10:D11" si="6">B10</f>
        <v>0</v>
      </c>
      <c r="F10" s="36" t="s">
        <v>12</v>
      </c>
      <c r="G10" s="43">
        <v>31.05</v>
      </c>
      <c r="H10" s="15"/>
      <c r="I10" s="40">
        <f t="shared" ref="I10:I11" si="7">G10</f>
        <v>31.05</v>
      </c>
      <c r="K10" s="36" t="s">
        <v>12</v>
      </c>
      <c r="L10" s="43">
        <v>101.37</v>
      </c>
      <c r="M10" s="15"/>
      <c r="N10" s="40">
        <f t="shared" ref="N10:N11" si="8">L10</f>
        <v>101.37</v>
      </c>
      <c r="P10" s="36" t="s">
        <v>12</v>
      </c>
      <c r="Q10" s="43">
        <v>57.36</v>
      </c>
      <c r="R10" s="15"/>
      <c r="S10" s="40">
        <f t="shared" ref="S10:S11" si="9">Q10</f>
        <v>57.36</v>
      </c>
      <c r="U10" s="36" t="s">
        <v>12</v>
      </c>
      <c r="V10" s="43">
        <v>62.06</v>
      </c>
      <c r="W10" s="15"/>
      <c r="X10" s="40">
        <f t="shared" ref="X10:X11" si="10">V10</f>
        <v>62.06</v>
      </c>
    </row>
    <row r="11">
      <c r="A11" s="36" t="s">
        <v>13</v>
      </c>
      <c r="B11" s="44">
        <v>41.0</v>
      </c>
      <c r="C11" s="11"/>
      <c r="D11" s="38">
        <f t="shared" si="6"/>
        <v>41</v>
      </c>
      <c r="F11" s="36" t="s">
        <v>13</v>
      </c>
      <c r="G11" s="44">
        <v>41.0</v>
      </c>
      <c r="H11" s="11"/>
      <c r="I11" s="38">
        <f t="shared" si="7"/>
        <v>41</v>
      </c>
      <c r="K11" s="36" t="s">
        <v>13</v>
      </c>
      <c r="L11" s="44">
        <v>41.0</v>
      </c>
      <c r="M11" s="11"/>
      <c r="N11" s="45">
        <f t="shared" si="8"/>
        <v>41</v>
      </c>
      <c r="P11" s="36" t="s">
        <v>13</v>
      </c>
      <c r="Q11" s="44">
        <v>41.0</v>
      </c>
      <c r="R11" s="11"/>
      <c r="S11" s="45">
        <f t="shared" si="9"/>
        <v>41</v>
      </c>
      <c r="U11" s="36" t="s">
        <v>13</v>
      </c>
      <c r="V11" s="44">
        <v>41.0</v>
      </c>
      <c r="W11" s="11"/>
      <c r="X11" s="38">
        <f t="shared" si="10"/>
        <v>41</v>
      </c>
    </row>
    <row r="12">
      <c r="A12" s="46" t="s">
        <v>14</v>
      </c>
      <c r="B12" s="47" t="s">
        <v>15</v>
      </c>
      <c r="C12" s="15"/>
      <c r="D12" s="48">
        <f>B4*0.19</f>
        <v>356.554</v>
      </c>
      <c r="E12" s="49"/>
      <c r="F12" s="46" t="s">
        <v>14</v>
      </c>
      <c r="G12" s="47" t="s">
        <v>15</v>
      </c>
      <c r="H12" s="15"/>
      <c r="I12" s="48">
        <f>G4*0.19</f>
        <v>526.034</v>
      </c>
      <c r="J12" s="49"/>
      <c r="K12" s="46" t="s">
        <v>14</v>
      </c>
      <c r="L12" s="47" t="s">
        <v>15</v>
      </c>
      <c r="M12" s="15"/>
      <c r="N12" s="48">
        <f>L4*0.19</f>
        <v>765.035</v>
      </c>
      <c r="O12" s="49"/>
      <c r="P12" s="46" t="s">
        <v>14</v>
      </c>
      <c r="Q12" s="47" t="s">
        <v>15</v>
      </c>
      <c r="R12" s="15"/>
      <c r="S12" s="48">
        <f>Q4*0.19</f>
        <v>578.683</v>
      </c>
      <c r="U12" s="46" t="s">
        <v>14</v>
      </c>
      <c r="V12" s="47" t="s">
        <v>15</v>
      </c>
      <c r="W12" s="15"/>
      <c r="X12" s="48">
        <f>V4*0.19</f>
        <v>223.402</v>
      </c>
      <c r="Y12" s="49"/>
      <c r="Z12" s="49"/>
      <c r="AA12" s="49"/>
      <c r="AB12" s="49"/>
      <c r="AC12" s="49"/>
    </row>
    <row r="13">
      <c r="A13" s="46" t="s">
        <v>16</v>
      </c>
      <c r="B13" s="47" t="s">
        <v>15</v>
      </c>
      <c r="C13" s="15"/>
      <c r="D13" s="40">
        <v>1054.94</v>
      </c>
      <c r="E13" s="49"/>
      <c r="F13" s="46" t="s">
        <v>16</v>
      </c>
      <c r="G13" s="47" t="s">
        <v>15</v>
      </c>
      <c r="H13" s="15"/>
      <c r="I13" s="40">
        <v>1054.94</v>
      </c>
      <c r="J13" s="49"/>
      <c r="K13" s="46" t="s">
        <v>16</v>
      </c>
      <c r="L13" s="47" t="s">
        <v>15</v>
      </c>
      <c r="M13" s="15"/>
      <c r="N13" s="40">
        <v>1054.94</v>
      </c>
      <c r="O13" s="49"/>
      <c r="P13" s="46" t="s">
        <v>16</v>
      </c>
      <c r="Q13" s="47" t="s">
        <v>15</v>
      </c>
      <c r="R13" s="15"/>
      <c r="S13" s="40">
        <v>1054.94</v>
      </c>
      <c r="T13" s="49"/>
      <c r="U13" s="46" t="s">
        <v>16</v>
      </c>
      <c r="V13" s="47" t="s">
        <v>15</v>
      </c>
      <c r="W13" s="15"/>
      <c r="X13" s="40">
        <v>1054.94</v>
      </c>
      <c r="Y13" s="49"/>
      <c r="Z13" s="49"/>
      <c r="AA13" s="49"/>
      <c r="AB13" s="49"/>
      <c r="AC13" s="49"/>
    </row>
    <row r="14">
      <c r="A14" s="46" t="s">
        <v>16</v>
      </c>
      <c r="B14" s="50"/>
      <c r="C14" s="50"/>
      <c r="D14" s="40">
        <v>287.0</v>
      </c>
      <c r="E14" s="49"/>
      <c r="F14" s="46" t="s">
        <v>16</v>
      </c>
      <c r="G14" s="50"/>
      <c r="H14" s="50"/>
      <c r="I14" s="40">
        <v>287.0</v>
      </c>
      <c r="J14" s="49"/>
      <c r="K14" s="46" t="s">
        <v>16</v>
      </c>
      <c r="L14" s="50"/>
      <c r="M14" s="50"/>
      <c r="N14" s="40">
        <v>287.0</v>
      </c>
      <c r="O14" s="49"/>
      <c r="P14" s="46" t="s">
        <v>16</v>
      </c>
      <c r="Q14" s="50"/>
      <c r="R14" s="50"/>
      <c r="S14" s="40">
        <v>287.0</v>
      </c>
      <c r="T14" s="49"/>
      <c r="U14" s="46" t="s">
        <v>16</v>
      </c>
      <c r="V14" s="50"/>
      <c r="W14" s="50"/>
      <c r="X14" s="40">
        <v>287.0</v>
      </c>
      <c r="Y14" s="49"/>
      <c r="Z14" s="49"/>
      <c r="AA14" s="49"/>
      <c r="AB14" s="49"/>
      <c r="AC14" s="49"/>
    </row>
    <row r="15">
      <c r="A15" s="46" t="s">
        <v>17</v>
      </c>
      <c r="B15" s="47" t="s">
        <v>15</v>
      </c>
      <c r="C15" s="15"/>
      <c r="D15" s="40">
        <f>B4*0.15</f>
        <v>281.49</v>
      </c>
      <c r="E15" s="49"/>
      <c r="F15" s="46" t="s">
        <v>17</v>
      </c>
      <c r="G15" s="47" t="s">
        <v>15</v>
      </c>
      <c r="H15" s="15"/>
      <c r="I15" s="40">
        <f>G4*0.15</f>
        <v>415.29</v>
      </c>
      <c r="J15" s="49"/>
      <c r="K15" s="46" t="s">
        <v>17</v>
      </c>
      <c r="L15" s="47" t="s">
        <v>15</v>
      </c>
      <c r="M15" s="15"/>
      <c r="N15" s="40">
        <f>L4*0.15</f>
        <v>603.975</v>
      </c>
      <c r="O15" s="49"/>
      <c r="P15" s="46" t="s">
        <v>17</v>
      </c>
      <c r="Q15" s="47" t="s">
        <v>15</v>
      </c>
      <c r="R15" s="15"/>
      <c r="S15" s="40">
        <f>Q4*0.15</f>
        <v>456.855</v>
      </c>
      <c r="T15" s="49"/>
      <c r="U15" s="46" t="s">
        <v>17</v>
      </c>
      <c r="V15" s="47" t="s">
        <v>15</v>
      </c>
      <c r="W15" s="15"/>
      <c r="X15" s="40">
        <f>V4*0.15</f>
        <v>176.37</v>
      </c>
      <c r="Y15" s="49"/>
      <c r="Z15" s="49"/>
      <c r="AA15" s="49"/>
      <c r="AB15" s="49"/>
      <c r="AC15" s="49"/>
    </row>
    <row r="16">
      <c r="A16" s="51" t="s">
        <v>18</v>
      </c>
      <c r="B16" s="47" t="s">
        <v>15</v>
      </c>
      <c r="C16" s="15"/>
      <c r="D16" s="40">
        <v>30.0</v>
      </c>
      <c r="E16" s="49"/>
      <c r="F16" s="51" t="s">
        <v>18</v>
      </c>
      <c r="G16" s="47" t="s">
        <v>15</v>
      </c>
      <c r="H16" s="15"/>
      <c r="I16" s="40">
        <v>30.0</v>
      </c>
      <c r="J16" s="49"/>
      <c r="K16" s="51" t="s">
        <v>18</v>
      </c>
      <c r="L16" s="47" t="s">
        <v>15</v>
      </c>
      <c r="M16" s="15"/>
      <c r="N16" s="40">
        <v>30.0</v>
      </c>
      <c r="O16" s="49"/>
      <c r="P16" s="51" t="s">
        <v>18</v>
      </c>
      <c r="Q16" s="47" t="s">
        <v>15</v>
      </c>
      <c r="R16" s="15"/>
      <c r="S16" s="40">
        <v>30.0</v>
      </c>
      <c r="T16" s="49"/>
      <c r="U16" s="51" t="s">
        <v>18</v>
      </c>
      <c r="V16" s="47" t="s">
        <v>15</v>
      </c>
      <c r="W16" s="15"/>
      <c r="X16" s="40">
        <v>30.0</v>
      </c>
      <c r="Y16" s="49"/>
      <c r="Z16" s="49"/>
      <c r="AA16" s="49"/>
      <c r="AB16" s="49"/>
      <c r="AC16" s="49"/>
    </row>
    <row r="17">
      <c r="A17" s="51" t="s">
        <v>19</v>
      </c>
      <c r="B17" s="47" t="s">
        <v>15</v>
      </c>
      <c r="C17" s="15"/>
      <c r="D17" s="40">
        <f>D5*0.012</f>
        <v>79.2</v>
      </c>
      <c r="E17" s="49"/>
      <c r="F17" s="51" t="s">
        <v>19</v>
      </c>
      <c r="G17" s="47" t="s">
        <v>15</v>
      </c>
      <c r="H17" s="15"/>
      <c r="I17" s="40">
        <f>I5*0.012</f>
        <v>99.99996</v>
      </c>
      <c r="J17" s="49"/>
      <c r="K17" s="51" t="s">
        <v>19</v>
      </c>
      <c r="L17" s="47" t="s">
        <v>15</v>
      </c>
      <c r="M17" s="15"/>
      <c r="N17" s="40">
        <f>N5*0.012</f>
        <v>122.63928</v>
      </c>
      <c r="O17" s="49"/>
      <c r="P17" s="51" t="s">
        <v>19</v>
      </c>
      <c r="Q17" s="47" t="s">
        <v>15</v>
      </c>
      <c r="R17" s="15"/>
      <c r="S17" s="40">
        <f>S5*0.012</f>
        <v>105.96</v>
      </c>
      <c r="T17" s="49"/>
      <c r="U17" s="51" t="s">
        <v>19</v>
      </c>
      <c r="V17" s="47" t="s">
        <v>15</v>
      </c>
      <c r="W17" s="15"/>
      <c r="X17" s="40">
        <f>X5*0.012</f>
        <v>44.4</v>
      </c>
      <c r="Y17" s="49"/>
      <c r="Z17" s="49"/>
      <c r="AA17" s="49"/>
      <c r="AB17" s="49"/>
      <c r="AC17" s="49"/>
    </row>
    <row r="18">
      <c r="A18" s="46" t="s">
        <v>20</v>
      </c>
      <c r="B18" s="47" t="s">
        <v>15</v>
      </c>
      <c r="C18" s="15"/>
      <c r="D18" s="40">
        <v>38.0</v>
      </c>
      <c r="E18" s="49"/>
      <c r="F18" s="46" t="s">
        <v>20</v>
      </c>
      <c r="G18" s="47" t="s">
        <v>15</v>
      </c>
      <c r="H18" s="15"/>
      <c r="I18" s="40">
        <v>38.0</v>
      </c>
      <c r="J18" s="49"/>
      <c r="K18" s="46" t="s">
        <v>20</v>
      </c>
      <c r="L18" s="47" t="s">
        <v>15</v>
      </c>
      <c r="M18" s="15"/>
      <c r="N18" s="40">
        <v>38.0</v>
      </c>
      <c r="O18" s="49"/>
      <c r="P18" s="46" t="s">
        <v>20</v>
      </c>
      <c r="Q18" s="47" t="s">
        <v>15</v>
      </c>
      <c r="R18" s="15"/>
      <c r="S18" s="40">
        <v>38.0</v>
      </c>
      <c r="T18" s="49"/>
      <c r="U18" s="46" t="s">
        <v>20</v>
      </c>
      <c r="V18" s="47" t="s">
        <v>15</v>
      </c>
      <c r="W18" s="15"/>
      <c r="X18" s="40">
        <v>38.0</v>
      </c>
      <c r="Y18" s="49"/>
      <c r="Z18" s="49"/>
      <c r="AA18" s="49"/>
      <c r="AB18" s="49"/>
      <c r="AC18" s="49"/>
    </row>
    <row r="19">
      <c r="A19" s="46" t="s">
        <v>21</v>
      </c>
      <c r="B19" s="47" t="s">
        <v>15</v>
      </c>
      <c r="C19" s="15"/>
      <c r="D19" s="40">
        <v>17.5</v>
      </c>
      <c r="E19" s="49"/>
      <c r="F19" s="46" t="s">
        <v>21</v>
      </c>
      <c r="G19" s="47" t="s">
        <v>15</v>
      </c>
      <c r="H19" s="15"/>
      <c r="I19" s="40">
        <v>17.5</v>
      </c>
      <c r="J19" s="49"/>
      <c r="K19" s="46" t="s">
        <v>21</v>
      </c>
      <c r="L19" s="47" t="s">
        <v>15</v>
      </c>
      <c r="M19" s="15"/>
      <c r="N19" s="40">
        <v>17.5</v>
      </c>
      <c r="O19" s="49"/>
      <c r="P19" s="46" t="s">
        <v>21</v>
      </c>
      <c r="Q19" s="47" t="s">
        <v>15</v>
      </c>
      <c r="R19" s="15"/>
      <c r="S19" s="40">
        <v>17.5</v>
      </c>
      <c r="T19" s="49"/>
      <c r="U19" s="46" t="s">
        <v>21</v>
      </c>
      <c r="V19" s="47" t="s">
        <v>15</v>
      </c>
      <c r="W19" s="15"/>
      <c r="X19" s="40">
        <v>17.5</v>
      </c>
      <c r="Y19" s="49"/>
      <c r="Z19" s="49"/>
      <c r="AA19" s="49"/>
      <c r="AB19" s="49"/>
      <c r="AC19" s="49"/>
    </row>
    <row r="20">
      <c r="A20" s="46" t="s">
        <v>22</v>
      </c>
      <c r="B20" s="47" t="s">
        <v>15</v>
      </c>
      <c r="C20" s="15"/>
      <c r="D20" s="48">
        <v>162.0</v>
      </c>
      <c r="F20" s="46" t="s">
        <v>22</v>
      </c>
      <c r="G20" s="47" t="s">
        <v>15</v>
      </c>
      <c r="H20" s="15"/>
      <c r="I20" s="48">
        <v>162.0</v>
      </c>
      <c r="K20" s="46" t="s">
        <v>22</v>
      </c>
      <c r="L20" s="47" t="s">
        <v>15</v>
      </c>
      <c r="M20" s="15"/>
      <c r="N20" s="48">
        <v>162.0</v>
      </c>
      <c r="P20" s="46" t="s">
        <v>22</v>
      </c>
      <c r="Q20" s="47" t="s">
        <v>15</v>
      </c>
      <c r="R20" s="15"/>
      <c r="S20" s="48">
        <v>162.0</v>
      </c>
      <c r="U20" s="46" t="s">
        <v>22</v>
      </c>
      <c r="V20" s="47" t="s">
        <v>15</v>
      </c>
      <c r="W20" s="15"/>
      <c r="X20" s="48">
        <v>162.0</v>
      </c>
    </row>
    <row r="21">
      <c r="A21" s="52" t="s">
        <v>23</v>
      </c>
      <c r="B21" s="29"/>
      <c r="C21" s="53"/>
      <c r="D21" s="54">
        <f>SUM(D8:D20)</f>
        <v>4649.807185</v>
      </c>
      <c r="F21" s="52" t="s">
        <v>23</v>
      </c>
      <c r="G21" s="29"/>
      <c r="H21" s="53"/>
      <c r="I21" s="54">
        <f>SUM(I8:I20)</f>
        <v>5915.099857</v>
      </c>
      <c r="K21" s="52" t="s">
        <v>23</v>
      </c>
      <c r="L21" s="29"/>
      <c r="M21" s="53"/>
      <c r="N21" s="54">
        <f>SUM(N8:N20)</f>
        <v>7697.578107</v>
      </c>
      <c r="P21" s="52" t="s">
        <v>23</v>
      </c>
      <c r="Q21" s="29"/>
      <c r="R21" s="53"/>
      <c r="S21" s="54">
        <f>SUM(S8:S20)</f>
        <v>6520.802206</v>
      </c>
      <c r="U21" s="52" t="s">
        <v>23</v>
      </c>
      <c r="V21" s="29"/>
      <c r="W21" s="53"/>
      <c r="X21" s="54">
        <f>SUM(X8:X20)</f>
        <v>3650.613291</v>
      </c>
    </row>
    <row r="22">
      <c r="A22" s="29"/>
      <c r="B22" s="29"/>
      <c r="C22" s="29"/>
      <c r="D22" s="30"/>
      <c r="F22" s="29"/>
      <c r="G22" s="29"/>
      <c r="H22" s="29"/>
      <c r="I22" s="30"/>
      <c r="K22" s="29"/>
      <c r="L22" s="29"/>
      <c r="M22" s="29"/>
      <c r="N22" s="30"/>
      <c r="P22" s="29"/>
      <c r="Q22" s="29"/>
      <c r="R22" s="29"/>
      <c r="S22" s="30"/>
      <c r="U22" s="29"/>
      <c r="V22" s="29"/>
      <c r="W22" s="29"/>
      <c r="X22" s="30"/>
    </row>
    <row r="23">
      <c r="A23" s="55" t="s">
        <v>24</v>
      </c>
      <c r="B23" s="29"/>
      <c r="C23" s="29"/>
      <c r="D23" s="56">
        <f>D5-D21</f>
        <v>1950.192815</v>
      </c>
      <c r="F23" s="55" t="s">
        <v>24</v>
      </c>
      <c r="G23" s="29"/>
      <c r="H23" s="29"/>
      <c r="I23" s="56">
        <f>I5-I21</f>
        <v>2418.230143</v>
      </c>
      <c r="K23" s="55" t="s">
        <v>24</v>
      </c>
      <c r="L23" s="29"/>
      <c r="M23" s="29"/>
      <c r="N23" s="56">
        <f>N5-N21</f>
        <v>2522.361893</v>
      </c>
      <c r="P23" s="55" t="s">
        <v>24</v>
      </c>
      <c r="Q23" s="29"/>
      <c r="R23" s="29"/>
      <c r="S23" s="56">
        <f>S5-S21</f>
        <v>2309.197794</v>
      </c>
      <c r="U23" s="55" t="s">
        <v>24</v>
      </c>
      <c r="V23" s="29"/>
      <c r="W23" s="29"/>
      <c r="X23" s="56">
        <f>X5-X21</f>
        <v>49.38670871</v>
      </c>
    </row>
    <row r="24">
      <c r="A24" s="57"/>
      <c r="B24" s="7"/>
      <c r="C24" s="57"/>
      <c r="D24" s="58"/>
      <c r="F24" s="1"/>
      <c r="G24" s="1"/>
      <c r="K24" s="6"/>
      <c r="L24" s="7"/>
      <c r="M24" s="6"/>
      <c r="N24" s="8"/>
      <c r="P24" s="59"/>
      <c r="Q24" s="1"/>
      <c r="R24" s="1"/>
      <c r="U24" s="1"/>
      <c r="V24" s="1"/>
      <c r="W24" s="1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>
      <c r="A26" s="60"/>
      <c r="B26" s="60"/>
      <c r="C26" s="60"/>
      <c r="D26" s="60"/>
      <c r="E26" s="61"/>
      <c r="F26" s="62"/>
      <c r="G26" s="63"/>
      <c r="H26" s="63"/>
      <c r="I26" s="63"/>
      <c r="J26" s="61"/>
      <c r="K26" s="62"/>
      <c r="L26" s="63"/>
      <c r="M26" s="63"/>
      <c r="N26" s="63"/>
      <c r="O26" s="63"/>
      <c r="P26" s="64"/>
      <c r="Q26" s="64"/>
      <c r="R26" s="64"/>
      <c r="S26" s="64"/>
      <c r="T26" s="63"/>
      <c r="U26" s="62"/>
      <c r="V26" s="61"/>
      <c r="W26" s="61"/>
      <c r="X26" s="61"/>
      <c r="Y26" s="63"/>
      <c r="Z26" s="63"/>
      <c r="AA26" s="8"/>
      <c r="AB26" s="8"/>
      <c r="AC26" s="8"/>
    </row>
    <row r="27">
      <c r="A27" s="8"/>
      <c r="B27" s="8"/>
      <c r="C27" s="8"/>
      <c r="D27" s="65"/>
      <c r="E27" s="66"/>
      <c r="F27" s="67"/>
      <c r="G27" s="67"/>
      <c r="I27" s="67"/>
      <c r="J27" s="66"/>
      <c r="K27" s="67"/>
      <c r="L27" s="67"/>
      <c r="N27" s="67"/>
      <c r="O27" s="66"/>
      <c r="P27" s="8"/>
      <c r="Q27" s="8"/>
      <c r="R27" s="8"/>
      <c r="S27" s="8"/>
      <c r="T27" s="8"/>
      <c r="U27" s="67"/>
      <c r="V27" s="67"/>
      <c r="X27" s="67"/>
      <c r="Y27" s="8"/>
      <c r="Z27" s="8"/>
      <c r="AA27" s="8"/>
      <c r="AB27" s="8"/>
      <c r="AC27" s="8"/>
    </row>
    <row r="28">
      <c r="A28" s="8" t="s">
        <v>25</v>
      </c>
      <c r="B28" s="6">
        <v>212.0</v>
      </c>
      <c r="C28" s="6"/>
      <c r="D28" s="8"/>
      <c r="E28" s="66"/>
      <c r="F28" s="8" t="s">
        <v>26</v>
      </c>
      <c r="G28" s="6">
        <v>207.0</v>
      </c>
      <c r="H28" s="57"/>
      <c r="I28" s="8"/>
      <c r="J28" s="66"/>
      <c r="K28" s="8" t="s">
        <v>27</v>
      </c>
      <c r="L28" s="6">
        <v>623.0</v>
      </c>
      <c r="M28" s="6"/>
      <c r="N28" s="8"/>
      <c r="O28" s="66"/>
      <c r="P28" s="6" t="s">
        <v>28</v>
      </c>
      <c r="Q28" s="6">
        <v>678.0</v>
      </c>
      <c r="R28" s="6"/>
      <c r="S28" s="8"/>
      <c r="T28" s="8"/>
      <c r="U28" s="6" t="s">
        <v>29</v>
      </c>
      <c r="V28" s="6">
        <v>667.0</v>
      </c>
      <c r="W28" s="8"/>
      <c r="X28" s="8"/>
      <c r="Y28" s="8"/>
      <c r="Z28" s="66"/>
      <c r="AA28" s="66"/>
      <c r="AB28" s="66"/>
      <c r="AC28" s="66"/>
    </row>
    <row r="29">
      <c r="A29" s="68" t="s">
        <v>5</v>
      </c>
      <c r="B29" s="69" t="s">
        <v>6</v>
      </c>
      <c r="C29" s="70"/>
      <c r="D29" s="71">
        <f>D31/D30</f>
        <v>2.796430329</v>
      </c>
      <c r="E29" s="66"/>
      <c r="F29" s="68" t="s">
        <v>5</v>
      </c>
      <c r="G29" s="69" t="s">
        <v>6</v>
      </c>
      <c r="H29" s="70"/>
      <c r="I29" s="71">
        <f>I31/I30</f>
        <v>3.035579107</v>
      </c>
      <c r="J29" s="66"/>
      <c r="K29" s="68" t="s">
        <v>5</v>
      </c>
      <c r="L29" s="69" t="s">
        <v>6</v>
      </c>
      <c r="M29" s="70"/>
      <c r="N29" s="71" t="str">
        <f>N31/N30</f>
        <v>#DIV/0!</v>
      </c>
      <c r="O29" s="66"/>
      <c r="P29" s="68" t="s">
        <v>5</v>
      </c>
      <c r="Q29" s="69" t="s">
        <v>6</v>
      </c>
      <c r="R29" s="70"/>
      <c r="S29" s="71">
        <f>S31/S30</f>
        <v>3.048878851</v>
      </c>
      <c r="T29" s="8"/>
      <c r="U29" s="68" t="s">
        <v>5</v>
      </c>
      <c r="V29" s="69" t="s">
        <v>6</v>
      </c>
      <c r="W29" s="70"/>
      <c r="X29" s="71">
        <f>X31/X30</f>
        <v>3.817249195</v>
      </c>
      <c r="Y29" s="8"/>
      <c r="Z29" s="72"/>
      <c r="AA29" s="73"/>
      <c r="AC29" s="74"/>
    </row>
    <row r="30">
      <c r="A30" s="18" t="s">
        <v>7</v>
      </c>
      <c r="B30" s="22">
        <v>3047.9</v>
      </c>
      <c r="C30" s="20"/>
      <c r="D30" s="75">
        <f t="shared" ref="D30:D31" si="11">B30</f>
        <v>3047.9</v>
      </c>
      <c r="E30" s="66"/>
      <c r="F30" s="18" t="s">
        <v>7</v>
      </c>
      <c r="G30" s="22">
        <v>1188.9</v>
      </c>
      <c r="H30" s="20"/>
      <c r="I30" s="75">
        <f t="shared" ref="I30:I31" si="12">G30</f>
        <v>1188.9</v>
      </c>
      <c r="J30" s="66"/>
      <c r="K30" s="18" t="s">
        <v>7</v>
      </c>
      <c r="L30" s="22">
        <v>0.0</v>
      </c>
      <c r="M30" s="20"/>
      <c r="N30" s="75">
        <f t="shared" ref="N30:N31" si="13">L30</f>
        <v>0</v>
      </c>
      <c r="O30" s="66"/>
      <c r="P30" s="18" t="s">
        <v>7</v>
      </c>
      <c r="Q30" s="22">
        <v>3099.5</v>
      </c>
      <c r="R30" s="20"/>
      <c r="S30" s="75">
        <f t="shared" ref="S30:S31" si="14">Q30</f>
        <v>3099.5</v>
      </c>
      <c r="T30" s="8"/>
      <c r="U30" s="18" t="s">
        <v>7</v>
      </c>
      <c r="V30" s="22">
        <v>2514.9</v>
      </c>
      <c r="W30" s="20"/>
      <c r="X30" s="75">
        <f t="shared" ref="X30:X31" si="15">V30</f>
        <v>2514.9</v>
      </c>
      <c r="Y30" s="8"/>
      <c r="Z30" s="76"/>
      <c r="AA30" s="77"/>
      <c r="AC30" s="78"/>
    </row>
    <row r="31">
      <c r="A31" s="79" t="s">
        <v>8</v>
      </c>
      <c r="B31" s="80">
        <v>8523.24</v>
      </c>
      <c r="C31" s="81"/>
      <c r="D31" s="82">
        <f t="shared" si="11"/>
        <v>8523.24</v>
      </c>
      <c r="E31" s="66"/>
      <c r="F31" s="24" t="s">
        <v>8</v>
      </c>
      <c r="G31" s="27">
        <v>3609.0</v>
      </c>
      <c r="H31" s="20"/>
      <c r="I31" s="83">
        <f t="shared" si="12"/>
        <v>3609</v>
      </c>
      <c r="J31" s="66"/>
      <c r="K31" s="24" t="s">
        <v>8</v>
      </c>
      <c r="L31" s="27">
        <v>0.0</v>
      </c>
      <c r="M31" s="20"/>
      <c r="N31" s="83">
        <f t="shared" si="13"/>
        <v>0</v>
      </c>
      <c r="O31" s="66"/>
      <c r="P31" s="24" t="s">
        <v>8</v>
      </c>
      <c r="Q31" s="27">
        <v>9450.0</v>
      </c>
      <c r="R31" s="20"/>
      <c r="S31" s="83">
        <f t="shared" si="14"/>
        <v>9450</v>
      </c>
      <c r="T31" s="8"/>
      <c r="U31" s="24" t="s">
        <v>8</v>
      </c>
      <c r="V31" s="27">
        <v>9600.0</v>
      </c>
      <c r="W31" s="20"/>
      <c r="X31" s="83">
        <f t="shared" si="15"/>
        <v>9600</v>
      </c>
      <c r="Y31" s="8"/>
      <c r="Z31" s="84"/>
      <c r="AA31" s="85"/>
      <c r="AC31" s="86"/>
    </row>
    <row r="32">
      <c r="A32" s="87" t="s">
        <v>30</v>
      </c>
      <c r="B32" s="88">
        <v>0.14</v>
      </c>
      <c r="C32" s="89"/>
      <c r="D32" s="90">
        <f>B31*B32</f>
        <v>1193.2536</v>
      </c>
      <c r="E32" s="66"/>
      <c r="F32" s="87" t="s">
        <v>30</v>
      </c>
      <c r="G32" s="91">
        <v>0.15</v>
      </c>
      <c r="H32" s="53"/>
      <c r="I32" s="92">
        <f>G31*G32</f>
        <v>541.35</v>
      </c>
      <c r="J32" s="66"/>
      <c r="K32" s="87" t="s">
        <v>30</v>
      </c>
      <c r="L32" s="91">
        <v>0.15</v>
      </c>
      <c r="M32" s="53"/>
      <c r="N32" s="92">
        <f>L31*L32</f>
        <v>0</v>
      </c>
      <c r="O32" s="66"/>
      <c r="P32" s="87" t="s">
        <v>30</v>
      </c>
      <c r="Q32" s="91">
        <v>0.2</v>
      </c>
      <c r="R32" s="53"/>
      <c r="S32" s="92">
        <f>Q31*Q32</f>
        <v>1890</v>
      </c>
      <c r="T32" s="8"/>
      <c r="U32" s="87" t="s">
        <v>30</v>
      </c>
      <c r="V32" s="91">
        <v>0.2</v>
      </c>
      <c r="W32" s="53"/>
      <c r="X32" s="92">
        <f>V31*V32</f>
        <v>1920</v>
      </c>
      <c r="Y32" s="8"/>
      <c r="Z32" s="84"/>
      <c r="AA32" s="85"/>
      <c r="AB32" s="85"/>
      <c r="AC32" s="86"/>
    </row>
    <row r="33">
      <c r="A33" s="93" t="s">
        <v>11</v>
      </c>
      <c r="B33" s="94">
        <v>2388.6</v>
      </c>
      <c r="C33" s="94">
        <v>2151.48</v>
      </c>
      <c r="D33" s="92">
        <f>B33-C33</f>
        <v>237.12</v>
      </c>
      <c r="E33" s="66"/>
      <c r="F33" s="95" t="s">
        <v>11</v>
      </c>
      <c r="G33" s="96">
        <v>525.01</v>
      </c>
      <c r="H33" s="96">
        <v>499.41</v>
      </c>
      <c r="I33" s="92">
        <f>G33-H33</f>
        <v>25.6</v>
      </c>
      <c r="J33" s="66"/>
      <c r="K33" s="95" t="s">
        <v>11</v>
      </c>
      <c r="L33" s="96">
        <v>0.0</v>
      </c>
      <c r="M33" s="96">
        <v>0.0</v>
      </c>
      <c r="N33" s="92">
        <f>L33-M33</f>
        <v>0</v>
      </c>
      <c r="O33" s="66"/>
      <c r="P33" s="95" t="s">
        <v>11</v>
      </c>
      <c r="Q33" s="97">
        <v>53.17</v>
      </c>
      <c r="R33" s="98"/>
      <c r="S33" s="92">
        <f>Q33-R33</f>
        <v>53.17</v>
      </c>
      <c r="T33" s="8"/>
      <c r="U33" s="95" t="s">
        <v>11</v>
      </c>
      <c r="V33" s="99">
        <v>50.7</v>
      </c>
      <c r="W33" s="98"/>
      <c r="X33" s="92">
        <f>V33-W33</f>
        <v>50.7</v>
      </c>
      <c r="Y33" s="8"/>
      <c r="Z33" s="84"/>
      <c r="AA33" s="85"/>
      <c r="AB33" s="85"/>
      <c r="AC33" s="86"/>
    </row>
    <row r="34">
      <c r="A34" s="100"/>
      <c r="B34" s="101"/>
      <c r="C34" s="101"/>
      <c r="D34" s="102"/>
      <c r="E34" s="66"/>
      <c r="F34" s="100"/>
      <c r="G34" s="101"/>
      <c r="H34" s="101"/>
      <c r="I34" s="102"/>
      <c r="J34" s="66"/>
      <c r="K34" s="100"/>
      <c r="L34" s="101"/>
      <c r="M34" s="101"/>
      <c r="N34" s="102"/>
      <c r="O34" s="66"/>
      <c r="P34" s="100"/>
      <c r="Q34" s="101"/>
      <c r="R34" s="101"/>
      <c r="S34" s="102"/>
      <c r="T34" s="8"/>
      <c r="U34" s="100"/>
      <c r="V34" s="101"/>
      <c r="W34" s="101"/>
      <c r="X34" s="102"/>
      <c r="Y34" s="8"/>
      <c r="Z34" s="84"/>
      <c r="AA34" s="85"/>
      <c r="AB34" s="85"/>
      <c r="AC34" s="86"/>
    </row>
    <row r="35">
      <c r="A35" s="33" t="s">
        <v>9</v>
      </c>
      <c r="B35" s="34"/>
      <c r="C35" s="34"/>
      <c r="D35" s="35"/>
      <c r="E35" s="66"/>
      <c r="F35" s="33" t="s">
        <v>9</v>
      </c>
      <c r="G35" s="34"/>
      <c r="H35" s="34"/>
      <c r="I35" s="35"/>
      <c r="J35" s="66"/>
      <c r="K35" s="33" t="s">
        <v>9</v>
      </c>
      <c r="L35" s="34"/>
      <c r="M35" s="34"/>
      <c r="N35" s="35"/>
      <c r="O35" s="66"/>
      <c r="P35" s="33" t="s">
        <v>9</v>
      </c>
      <c r="Q35" s="34"/>
      <c r="R35" s="34"/>
      <c r="S35" s="35"/>
      <c r="T35" s="8"/>
      <c r="U35" s="33" t="s">
        <v>9</v>
      </c>
      <c r="V35" s="34"/>
      <c r="W35" s="34"/>
      <c r="X35" s="35"/>
      <c r="Y35" s="8"/>
      <c r="Z35" s="103"/>
    </row>
    <row r="36">
      <c r="A36" s="46" t="s">
        <v>14</v>
      </c>
      <c r="B36" s="47" t="s">
        <v>15</v>
      </c>
      <c r="C36" s="15"/>
      <c r="D36" s="48">
        <f>B30*0.04</f>
        <v>121.916</v>
      </c>
      <c r="E36" s="66"/>
      <c r="F36" s="46" t="s">
        <v>14</v>
      </c>
      <c r="G36" s="47" t="s">
        <v>15</v>
      </c>
      <c r="H36" s="15"/>
      <c r="I36" s="48">
        <f>G30*0.07</f>
        <v>83.223</v>
      </c>
      <c r="J36" s="66"/>
      <c r="K36" s="46" t="s">
        <v>14</v>
      </c>
      <c r="L36" s="47" t="s">
        <v>15</v>
      </c>
      <c r="M36" s="15"/>
      <c r="N36" s="48">
        <f>L30*0.04</f>
        <v>0</v>
      </c>
      <c r="O36" s="66"/>
      <c r="P36" s="46" t="s">
        <v>14</v>
      </c>
      <c r="Q36" s="47" t="s">
        <v>15</v>
      </c>
      <c r="R36" s="15"/>
      <c r="S36" s="48">
        <f>Q30*0.04</f>
        <v>123.98</v>
      </c>
      <c r="T36" s="66"/>
      <c r="U36" s="46" t="s">
        <v>14</v>
      </c>
      <c r="V36" s="47" t="s">
        <v>15</v>
      </c>
      <c r="W36" s="15"/>
      <c r="X36" s="48">
        <f>V30*0.04</f>
        <v>100.596</v>
      </c>
      <c r="Y36" s="66"/>
      <c r="Z36" s="104"/>
      <c r="AA36" s="105"/>
      <c r="AC36" s="106"/>
    </row>
    <row r="37">
      <c r="A37" s="46" t="s">
        <v>16</v>
      </c>
      <c r="B37" s="47" t="s">
        <v>15</v>
      </c>
      <c r="C37" s="15"/>
      <c r="D37" s="48">
        <f>1119.42461538461-1125</f>
        <v>-5.575384615</v>
      </c>
      <c r="E37" s="66"/>
      <c r="F37" s="46" t="s">
        <v>16</v>
      </c>
      <c r="G37" s="47" t="s">
        <v>15</v>
      </c>
      <c r="H37" s="15"/>
      <c r="I37" s="48">
        <f>1119.42461538461-1125</f>
        <v>-5.575384615</v>
      </c>
      <c r="J37" s="66"/>
      <c r="K37" s="46" t="s">
        <v>16</v>
      </c>
      <c r="L37" s="47" t="s">
        <v>15</v>
      </c>
      <c r="M37" s="15"/>
      <c r="N37" s="48">
        <f>115-275</f>
        <v>-160</v>
      </c>
      <c r="O37" s="66"/>
      <c r="P37" s="46" t="s">
        <v>16</v>
      </c>
      <c r="Q37" s="47" t="s">
        <v>15</v>
      </c>
      <c r="R37" s="15"/>
      <c r="S37" s="48">
        <v>115.0</v>
      </c>
      <c r="T37" s="66"/>
      <c r="U37" s="46" t="s">
        <v>16</v>
      </c>
      <c r="V37" s="47" t="s">
        <v>15</v>
      </c>
      <c r="W37" s="15"/>
      <c r="X37" s="48">
        <v>115.0</v>
      </c>
      <c r="Y37" s="66"/>
      <c r="Z37" s="104"/>
      <c r="AA37" s="105"/>
      <c r="AC37" s="106"/>
    </row>
    <row r="38">
      <c r="A38" s="107" t="s">
        <v>31</v>
      </c>
      <c r="B38" s="47" t="s">
        <v>15</v>
      </c>
      <c r="C38" s="15"/>
      <c r="D38" s="48">
        <f>B30*0.15+16-225</f>
        <v>248.185</v>
      </c>
      <c r="E38" s="66"/>
      <c r="F38" s="107" t="s">
        <v>31</v>
      </c>
      <c r="G38" s="47" t="s">
        <v>15</v>
      </c>
      <c r="H38" s="15"/>
      <c r="I38" s="48">
        <f>G30*0.15+16-252</f>
        <v>-57.665</v>
      </c>
      <c r="J38" s="66"/>
      <c r="K38" s="107" t="s">
        <v>31</v>
      </c>
      <c r="L38" s="47" t="s">
        <v>15</v>
      </c>
      <c r="M38" s="15"/>
      <c r="N38" s="48">
        <f>L30*0.15+16-225</f>
        <v>-209</v>
      </c>
      <c r="O38" s="66"/>
      <c r="P38" s="107" t="s">
        <v>31</v>
      </c>
      <c r="Q38" s="47" t="s">
        <v>15</v>
      </c>
      <c r="R38" s="15"/>
      <c r="S38" s="48">
        <f>Q30*0.15+16</f>
        <v>480.925</v>
      </c>
      <c r="T38" s="66"/>
      <c r="U38" s="107" t="s">
        <v>31</v>
      </c>
      <c r="V38" s="47" t="s">
        <v>15</v>
      </c>
      <c r="W38" s="15"/>
      <c r="X38" s="48">
        <f>V30*0.15+16</f>
        <v>393.235</v>
      </c>
      <c r="Y38" s="66"/>
      <c r="Z38" s="108"/>
      <c r="AA38" s="105"/>
      <c r="AC38" s="106"/>
    </row>
    <row r="39">
      <c r="A39" s="51" t="s">
        <v>19</v>
      </c>
      <c r="B39" s="47" t="s">
        <v>15</v>
      </c>
      <c r="C39" s="15"/>
      <c r="D39" s="48">
        <f>D31*0.012</f>
        <v>102.27888</v>
      </c>
      <c r="E39" s="66"/>
      <c r="F39" s="51" t="s">
        <v>19</v>
      </c>
      <c r="G39" s="47" t="s">
        <v>15</v>
      </c>
      <c r="H39" s="15"/>
      <c r="I39" s="48">
        <f>I31*0.012</f>
        <v>43.308</v>
      </c>
      <c r="J39" s="66"/>
      <c r="K39" s="51" t="s">
        <v>19</v>
      </c>
      <c r="L39" s="47" t="s">
        <v>15</v>
      </c>
      <c r="M39" s="15"/>
      <c r="N39" s="48">
        <f>N31*0.012</f>
        <v>0</v>
      </c>
      <c r="O39" s="66"/>
      <c r="P39" s="51" t="s">
        <v>19</v>
      </c>
      <c r="Q39" s="47" t="s">
        <v>15</v>
      </c>
      <c r="R39" s="15"/>
      <c r="S39" s="48">
        <f>S31*0.012</f>
        <v>113.4</v>
      </c>
      <c r="T39" s="66"/>
      <c r="U39" s="51" t="s">
        <v>19</v>
      </c>
      <c r="V39" s="47" t="s">
        <v>15</v>
      </c>
      <c r="W39" s="15"/>
      <c r="X39" s="48">
        <f>X31*0.012</f>
        <v>115.2</v>
      </c>
      <c r="Y39" s="66"/>
      <c r="Z39" s="109"/>
      <c r="AA39" s="105"/>
      <c r="AC39" s="106"/>
    </row>
    <row r="40">
      <c r="A40" s="46" t="s">
        <v>20</v>
      </c>
      <c r="B40" s="47" t="s">
        <v>15</v>
      </c>
      <c r="C40" s="15"/>
      <c r="D40" s="48">
        <v>38.0</v>
      </c>
      <c r="E40" s="66"/>
      <c r="F40" s="46" t="s">
        <v>20</v>
      </c>
      <c r="G40" s="47" t="s">
        <v>15</v>
      </c>
      <c r="H40" s="15"/>
      <c r="I40" s="48">
        <v>38.0</v>
      </c>
      <c r="J40" s="66"/>
      <c r="K40" s="46" t="s">
        <v>20</v>
      </c>
      <c r="L40" s="47" t="s">
        <v>15</v>
      </c>
      <c r="M40" s="15"/>
      <c r="N40" s="48">
        <v>38.0</v>
      </c>
      <c r="O40" s="66"/>
      <c r="P40" s="46" t="s">
        <v>20</v>
      </c>
      <c r="Q40" s="47" t="s">
        <v>15</v>
      </c>
      <c r="R40" s="15"/>
      <c r="S40" s="48">
        <v>38.0</v>
      </c>
      <c r="T40" s="66"/>
      <c r="U40" s="46" t="s">
        <v>20</v>
      </c>
      <c r="V40" s="47" t="s">
        <v>15</v>
      </c>
      <c r="W40" s="15"/>
      <c r="X40" s="48">
        <v>38.0</v>
      </c>
      <c r="Y40" s="66"/>
      <c r="Z40" s="104"/>
      <c r="AA40" s="105"/>
      <c r="AC40" s="106"/>
    </row>
    <row r="41">
      <c r="A41" s="46" t="s">
        <v>22</v>
      </c>
      <c r="B41" s="47" t="s">
        <v>15</v>
      </c>
      <c r="C41" s="15"/>
      <c r="D41" s="48">
        <f>162-113</f>
        <v>49</v>
      </c>
      <c r="E41" s="66"/>
      <c r="F41" s="46" t="s">
        <v>22</v>
      </c>
      <c r="G41" s="47" t="s">
        <v>15</v>
      </c>
      <c r="H41" s="15"/>
      <c r="I41" s="48">
        <f>162</f>
        <v>162</v>
      </c>
      <c r="J41" s="66"/>
      <c r="K41" s="46" t="s">
        <v>22</v>
      </c>
      <c r="L41" s="47" t="s">
        <v>15</v>
      </c>
      <c r="M41" s="15"/>
      <c r="N41" s="48">
        <f>162-113</f>
        <v>49</v>
      </c>
      <c r="O41" s="66"/>
      <c r="P41" s="46" t="s">
        <v>22</v>
      </c>
      <c r="Q41" s="47" t="s">
        <v>15</v>
      </c>
      <c r="R41" s="15"/>
      <c r="S41" s="48" t="str">
        <f>Q41</f>
        <v>-</v>
      </c>
      <c r="T41" s="8"/>
      <c r="U41" s="46" t="s">
        <v>22</v>
      </c>
      <c r="V41" s="47" t="s">
        <v>15</v>
      </c>
      <c r="W41" s="15"/>
      <c r="X41" s="48" t="str">
        <f>V41</f>
        <v>-</v>
      </c>
      <c r="Y41" s="8"/>
      <c r="Z41" s="104"/>
      <c r="AA41" s="105"/>
      <c r="AC41" s="106"/>
    </row>
    <row r="42">
      <c r="A42" s="52" t="s">
        <v>23</v>
      </c>
      <c r="B42" s="29"/>
      <c r="C42" s="53"/>
      <c r="D42" s="54">
        <f>SUM(D36:D41)</f>
        <v>553.8044954</v>
      </c>
      <c r="E42" s="66"/>
      <c r="F42" s="52" t="s">
        <v>23</v>
      </c>
      <c r="G42" s="29"/>
      <c r="H42" s="53"/>
      <c r="I42" s="54">
        <f>SUM(I36:I41)</f>
        <v>263.2906154</v>
      </c>
      <c r="J42" s="66"/>
      <c r="K42" s="52" t="s">
        <v>23</v>
      </c>
      <c r="L42" s="29"/>
      <c r="M42" s="53"/>
      <c r="N42" s="54">
        <f>SUM(N36:N41)</f>
        <v>-282</v>
      </c>
      <c r="O42" s="66"/>
      <c r="P42" s="52" t="s">
        <v>23</v>
      </c>
      <c r="Q42" s="29"/>
      <c r="R42" s="53"/>
      <c r="S42" s="54">
        <f>SUM(S36:S41)</f>
        <v>871.305</v>
      </c>
      <c r="T42" s="8"/>
      <c r="U42" s="52" t="s">
        <v>23</v>
      </c>
      <c r="V42" s="29"/>
      <c r="W42" s="53"/>
      <c r="X42" s="54">
        <f>SUM(X36:X41)</f>
        <v>762.031</v>
      </c>
      <c r="Y42" s="8"/>
      <c r="Z42" s="103"/>
      <c r="AA42" s="66"/>
      <c r="AC42" s="110"/>
    </row>
    <row r="43">
      <c r="A43" s="29"/>
      <c r="B43" s="29"/>
      <c r="C43" s="29"/>
      <c r="D43" s="30"/>
      <c r="E43" s="8"/>
      <c r="F43" s="29"/>
      <c r="G43" s="29"/>
      <c r="H43" s="29"/>
      <c r="I43" s="30"/>
      <c r="J43" s="8"/>
      <c r="K43" s="29"/>
      <c r="L43" s="29"/>
      <c r="M43" s="29"/>
      <c r="N43" s="30"/>
      <c r="O43" s="8"/>
      <c r="P43" s="29"/>
      <c r="Q43" s="29"/>
      <c r="R43" s="29"/>
      <c r="S43" s="30"/>
      <c r="T43" s="8"/>
      <c r="U43" s="29"/>
      <c r="V43" s="29"/>
      <c r="W43" s="29"/>
      <c r="X43" s="30"/>
      <c r="Y43" s="8"/>
      <c r="Z43" s="66"/>
      <c r="AA43" s="66"/>
      <c r="AB43" s="66"/>
      <c r="AC43" s="111"/>
    </row>
    <row r="44">
      <c r="A44" s="55" t="s">
        <v>24</v>
      </c>
      <c r="B44" s="29"/>
      <c r="C44" s="29"/>
      <c r="D44" s="56">
        <f>D32-D42+D33</f>
        <v>876.5691046</v>
      </c>
      <c r="E44" s="8"/>
      <c r="F44" s="55" t="s">
        <v>24</v>
      </c>
      <c r="G44" s="29"/>
      <c r="H44" s="29"/>
      <c r="I44" s="56">
        <f>I32+I33-I42</f>
        <v>303.6593846</v>
      </c>
      <c r="J44" s="8"/>
      <c r="K44" s="55" t="s">
        <v>24</v>
      </c>
      <c r="L44" s="29"/>
      <c r="M44" s="29"/>
      <c r="N44" s="56">
        <f>N32+N33-N42</f>
        <v>282</v>
      </c>
      <c r="O44" s="8"/>
      <c r="P44" s="55" t="s">
        <v>24</v>
      </c>
      <c r="Q44" s="29"/>
      <c r="R44" s="29"/>
      <c r="S44" s="56">
        <f>S32+S33-S42</f>
        <v>1071.865</v>
      </c>
      <c r="T44" s="8"/>
      <c r="U44" s="55" t="s">
        <v>24</v>
      </c>
      <c r="V44" s="29"/>
      <c r="W44" s="29"/>
      <c r="X44" s="56">
        <f>X32+X33-X42</f>
        <v>1208.669</v>
      </c>
      <c r="Y44" s="8"/>
      <c r="Z44" s="84"/>
      <c r="AA44" s="66"/>
      <c r="AB44" s="66"/>
      <c r="AC44" s="112"/>
    </row>
    <row r="45">
      <c r="P45" s="113"/>
      <c r="Q45" s="8"/>
      <c r="R45" s="8"/>
      <c r="S45" s="114"/>
      <c r="Z45" s="49"/>
      <c r="AA45" s="49"/>
      <c r="AB45" s="49"/>
      <c r="AC45" s="49"/>
    </row>
  </sheetData>
  <mergeCells count="154">
    <mergeCell ref="L29:M29"/>
    <mergeCell ref="L30:M30"/>
    <mergeCell ref="Q30:R30"/>
    <mergeCell ref="V30:W30"/>
    <mergeCell ref="AA30:AB30"/>
    <mergeCell ref="V31:W31"/>
    <mergeCell ref="AA31:AB31"/>
    <mergeCell ref="Z35:AC35"/>
    <mergeCell ref="AA36:AB36"/>
    <mergeCell ref="Q31:R31"/>
    <mergeCell ref="Q32:R32"/>
    <mergeCell ref="V32:W32"/>
    <mergeCell ref="K35:N35"/>
    <mergeCell ref="U35:X35"/>
    <mergeCell ref="L36:M36"/>
    <mergeCell ref="V36:W36"/>
    <mergeCell ref="B3:C3"/>
    <mergeCell ref="G3:H3"/>
    <mergeCell ref="L3:M3"/>
    <mergeCell ref="V3:W3"/>
    <mergeCell ref="G4:H4"/>
    <mergeCell ref="L4:M4"/>
    <mergeCell ref="V4:W4"/>
    <mergeCell ref="B4:C4"/>
    <mergeCell ref="B5:C5"/>
    <mergeCell ref="G5:H5"/>
    <mergeCell ref="L5:M5"/>
    <mergeCell ref="A7:D7"/>
    <mergeCell ref="K7:N7"/>
    <mergeCell ref="B8:C8"/>
    <mergeCell ref="L8:M8"/>
    <mergeCell ref="Q3:R3"/>
    <mergeCell ref="Q4:R4"/>
    <mergeCell ref="Q5:R5"/>
    <mergeCell ref="V5:W5"/>
    <mergeCell ref="P7:S7"/>
    <mergeCell ref="U7:X7"/>
    <mergeCell ref="V8:W8"/>
    <mergeCell ref="V19:W19"/>
    <mergeCell ref="V20:W20"/>
    <mergeCell ref="Q21:R21"/>
    <mergeCell ref="V21:W21"/>
    <mergeCell ref="V27:W27"/>
    <mergeCell ref="Q29:R29"/>
    <mergeCell ref="V29:W29"/>
    <mergeCell ref="AA29:AB29"/>
    <mergeCell ref="G13:H13"/>
    <mergeCell ref="G15:H15"/>
    <mergeCell ref="G16:H16"/>
    <mergeCell ref="G17:H17"/>
    <mergeCell ref="G18:H18"/>
    <mergeCell ref="G19:H19"/>
    <mergeCell ref="G20:H20"/>
    <mergeCell ref="G21:H21"/>
    <mergeCell ref="G27:H27"/>
    <mergeCell ref="G29:H29"/>
    <mergeCell ref="G30:H30"/>
    <mergeCell ref="G31:H31"/>
    <mergeCell ref="G32:H32"/>
    <mergeCell ref="F35:I35"/>
    <mergeCell ref="L39:M39"/>
    <mergeCell ref="L40:M40"/>
    <mergeCell ref="Q40:R40"/>
    <mergeCell ref="V40:W40"/>
    <mergeCell ref="AA40:AB40"/>
    <mergeCell ref="V12:W12"/>
    <mergeCell ref="V13:W13"/>
    <mergeCell ref="Q8:R8"/>
    <mergeCell ref="Q10:R10"/>
    <mergeCell ref="V10:W10"/>
    <mergeCell ref="Q11:R11"/>
    <mergeCell ref="V11:W11"/>
    <mergeCell ref="Q12:R12"/>
    <mergeCell ref="Q13:R13"/>
    <mergeCell ref="F7:I7"/>
    <mergeCell ref="G8:H8"/>
    <mergeCell ref="B10:C10"/>
    <mergeCell ref="G10:H10"/>
    <mergeCell ref="L10:M10"/>
    <mergeCell ref="G11:H11"/>
    <mergeCell ref="L11:M11"/>
    <mergeCell ref="B11:C11"/>
    <mergeCell ref="B12:C12"/>
    <mergeCell ref="G12:H12"/>
    <mergeCell ref="L12:M12"/>
    <mergeCell ref="B13:C13"/>
    <mergeCell ref="L13:M13"/>
    <mergeCell ref="L15:M15"/>
    <mergeCell ref="Q18:R18"/>
    <mergeCell ref="Q19:R19"/>
    <mergeCell ref="Q20:R20"/>
    <mergeCell ref="Q15:R15"/>
    <mergeCell ref="V15:W15"/>
    <mergeCell ref="Q16:R16"/>
    <mergeCell ref="V16:W16"/>
    <mergeCell ref="Q17:R17"/>
    <mergeCell ref="V17:W17"/>
    <mergeCell ref="V18:W18"/>
    <mergeCell ref="B15:C15"/>
    <mergeCell ref="B16:C16"/>
    <mergeCell ref="B17:C17"/>
    <mergeCell ref="B18:C18"/>
    <mergeCell ref="B19:C19"/>
    <mergeCell ref="B20:C20"/>
    <mergeCell ref="B21:C21"/>
    <mergeCell ref="B38:C38"/>
    <mergeCell ref="B39:C39"/>
    <mergeCell ref="B40:C40"/>
    <mergeCell ref="B41:C41"/>
    <mergeCell ref="B42:C42"/>
    <mergeCell ref="B29:C29"/>
    <mergeCell ref="B30:C30"/>
    <mergeCell ref="B31:C31"/>
    <mergeCell ref="B32:C32"/>
    <mergeCell ref="A35:D35"/>
    <mergeCell ref="B36:C36"/>
    <mergeCell ref="B37:C37"/>
    <mergeCell ref="L31:M31"/>
    <mergeCell ref="L32:M32"/>
    <mergeCell ref="L16:M16"/>
    <mergeCell ref="L17:M17"/>
    <mergeCell ref="L18:M18"/>
    <mergeCell ref="L19:M19"/>
    <mergeCell ref="L20:M20"/>
    <mergeCell ref="L21:M21"/>
    <mergeCell ref="L27:M27"/>
    <mergeCell ref="P35:S35"/>
    <mergeCell ref="Q36:R36"/>
    <mergeCell ref="Q37:R37"/>
    <mergeCell ref="V37:W37"/>
    <mergeCell ref="AA37:AB37"/>
    <mergeCell ref="V38:W38"/>
    <mergeCell ref="AA38:AB38"/>
    <mergeCell ref="V41:W41"/>
    <mergeCell ref="V42:W42"/>
    <mergeCell ref="Q38:R38"/>
    <mergeCell ref="Q39:R39"/>
    <mergeCell ref="V39:W39"/>
    <mergeCell ref="AA39:AB39"/>
    <mergeCell ref="Q41:R41"/>
    <mergeCell ref="AA41:AB41"/>
    <mergeCell ref="Q42:R42"/>
    <mergeCell ref="AA42:AB42"/>
    <mergeCell ref="G41:H41"/>
    <mergeCell ref="L41:M41"/>
    <mergeCell ref="G42:H42"/>
    <mergeCell ref="L42:M42"/>
    <mergeCell ref="G36:H36"/>
    <mergeCell ref="G37:H37"/>
    <mergeCell ref="L37:M37"/>
    <mergeCell ref="G38:H38"/>
    <mergeCell ref="L38:M38"/>
    <mergeCell ref="G39:H39"/>
    <mergeCell ref="G40:H4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